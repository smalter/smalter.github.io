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ments" sheetId="1" r:id="rId5"/>
    <sheet state="visible" name="By year" sheetId="2" r:id="rId6"/>
  </sheets>
  <definedNames>
    <definedName name="Cost">'By year'!$B$1</definedName>
    <definedName name="Value">'By year'!$C$1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<sst xmlns="http://schemas.openxmlformats.org/spreadsheetml/2006/main" count="408" uniqueCount="119">
  <si>
    <t>Company</t>
  </si>
  <si>
    <t>Fund</t>
  </si>
  <si>
    <t>Round</t>
  </si>
  <si>
    <t>Year</t>
  </si>
  <si>
    <t>Cost basis</t>
  </si>
  <si>
    <t>Current carrying value</t>
  </si>
  <si>
    <t>Gross multiple</t>
  </si>
  <si>
    <t>Status</t>
  </si>
  <si>
    <t>Podia</t>
  </si>
  <si>
    <t>Active</t>
  </si>
  <si>
    <t>Walter Chen</t>
  </si>
  <si>
    <t>Seed</t>
  </si>
  <si>
    <t>Series A</t>
  </si>
  <si>
    <t>Golden Wok</t>
  </si>
  <si>
    <t>Secondary</t>
  </si>
  <si>
    <t>Wistia</t>
  </si>
  <si>
    <t>Tribe Capital</t>
  </si>
  <si>
    <t>Fund I</t>
  </si>
  <si>
    <t>Fund II</t>
  </si>
  <si>
    <t>Crypto Fund I</t>
  </si>
  <si>
    <t>Farmstead</t>
  </si>
  <si>
    <t>Inactive</t>
  </si>
  <si>
    <t>Series B</t>
  </si>
  <si>
    <t>Lithic</t>
  </si>
  <si>
    <t>Series C</t>
  </si>
  <si>
    <t>MetaMap</t>
  </si>
  <si>
    <t>Acquired</t>
  </si>
  <si>
    <t>Pry</t>
  </si>
  <si>
    <t>Brex (via Pry)</t>
  </si>
  <si>
    <t>Series D</t>
  </si>
  <si>
    <t>Cash (via Pry)</t>
  </si>
  <si>
    <t>Docker</t>
  </si>
  <si>
    <t>Ramp</t>
  </si>
  <si>
    <t>Ardius</t>
  </si>
  <si>
    <t>Gusto (via Ardius)</t>
  </si>
  <si>
    <t>Bungalow Capital</t>
  </si>
  <si>
    <t>Fund III</t>
  </si>
  <si>
    <t>Republic</t>
  </si>
  <si>
    <t>Customer.io</t>
  </si>
  <si>
    <t>Forage</t>
  </si>
  <si>
    <t>Beacons</t>
  </si>
  <si>
    <t>CapitalX</t>
  </si>
  <si>
    <t>Earl Grey Capital</t>
  </si>
  <si>
    <t>Accelpay</t>
  </si>
  <si>
    <t>Pipe</t>
  </si>
  <si>
    <t>Prequel</t>
  </si>
  <si>
    <t>CopyAI</t>
  </si>
  <si>
    <t>Fullcast (via CopyAI)</t>
  </si>
  <si>
    <t>Blushh</t>
  </si>
  <si>
    <t>Double</t>
  </si>
  <si>
    <t>Flow Club</t>
  </si>
  <si>
    <t>Keep</t>
  </si>
  <si>
    <t>Mighty Buildings</t>
  </si>
  <si>
    <t>Milk Video</t>
  </si>
  <si>
    <t>Operator</t>
  </si>
  <si>
    <t>Pragmatic Leaders</t>
  </si>
  <si>
    <t>Promoted.ai</t>
  </si>
  <si>
    <t>Rosebud AI</t>
  </si>
  <si>
    <t>Steady</t>
  </si>
  <si>
    <t>Veera</t>
  </si>
  <si>
    <t>Wynter</t>
  </si>
  <si>
    <t>Zingbus</t>
  </si>
  <si>
    <t>Untitled Ventures</t>
  </si>
  <si>
    <t>OpenWrench</t>
  </si>
  <si>
    <t>Super Abstractions</t>
  </si>
  <si>
    <t>Monarch</t>
  </si>
  <si>
    <t>Alloy</t>
  </si>
  <si>
    <t>Caplight</t>
  </si>
  <si>
    <t>AbstractOps</t>
  </si>
  <si>
    <t>ChangeEngine</t>
  </si>
  <si>
    <t>Cloudberry</t>
  </si>
  <si>
    <t>Merit</t>
  </si>
  <si>
    <t>RankScience</t>
  </si>
  <si>
    <t>Rain</t>
  </si>
  <si>
    <t>Fireside</t>
  </si>
  <si>
    <t>OfficeTogether</t>
  </si>
  <si>
    <t>Envoy (via OfficeTogether)</t>
  </si>
  <si>
    <t>Cash (via OfficeTogether)</t>
  </si>
  <si>
    <t>Taloflow</t>
  </si>
  <si>
    <t>Atai Life Sciences</t>
  </si>
  <si>
    <t>IPO</t>
  </si>
  <si>
    <t>Arrows.to</t>
  </si>
  <si>
    <t>Rise</t>
  </si>
  <si>
    <t>Driveway</t>
  </si>
  <si>
    <t>Heyday</t>
  </si>
  <si>
    <t>Taxwire</t>
  </si>
  <si>
    <t>Truewind</t>
  </si>
  <si>
    <t>Jo</t>
  </si>
  <si>
    <t>Autograph</t>
  </si>
  <si>
    <t>The Network</t>
  </si>
  <si>
    <t>Commerce Rays</t>
  </si>
  <si>
    <t>Spark</t>
  </si>
  <si>
    <t>Momentic</t>
  </si>
  <si>
    <t>Termina</t>
  </si>
  <si>
    <t>GoldDust</t>
  </si>
  <si>
    <t>Foundation</t>
  </si>
  <si>
    <t>Prune</t>
  </si>
  <si>
    <t>Pax</t>
  </si>
  <si>
    <t>Hamming</t>
  </si>
  <si>
    <t>Anyreach</t>
  </si>
  <si>
    <t>Sunflower</t>
  </si>
  <si>
    <t>Ember</t>
  </si>
  <si>
    <t>Asari</t>
  </si>
  <si>
    <t>Dynamic Fund</t>
  </si>
  <si>
    <t>Wafer</t>
  </si>
  <si>
    <t>HomeFig</t>
  </si>
  <si>
    <t>Crytronic</t>
  </si>
  <si>
    <t>SpotPay</t>
  </si>
  <si>
    <t>Anvil Robotics</t>
  </si>
  <si>
    <t>Replit</t>
  </si>
  <si>
    <t>SchoolHouse</t>
  </si>
  <si>
    <t>Runwise (via SchoolHouse)</t>
  </si>
  <si>
    <t>Karmic</t>
  </si>
  <si>
    <t>Mixily</t>
  </si>
  <si>
    <t>Alka</t>
  </si>
  <si>
    <t>Invenia</t>
  </si>
  <si>
    <t>Total</t>
  </si>
  <si>
    <t>Cost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</si>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</sst>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#,##0.0"/>
    <numFmt numFmtId="166" formatCode="0.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4" fontId="2" numFmtId="0" xfId="0" applyFill="1" applyFont="1"/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164" xfId="0" applyAlignment="1" applyFont="1" applyNumberFormat="1">
      <alignment readingOrder="0"/>
    </xf>
    <xf borderId="0" fillId="5" fontId="2" numFmtId="165" xfId="0" applyAlignment="1" applyFont="1" applyNumberFormat="1">
      <alignment readingOrder="0"/>
    </xf>
    <xf borderId="0" fillId="6" fontId="2" numFmtId="0" xfId="0" applyFill="1" applyFont="1"/>
    <xf borderId="0" fillId="6" fontId="2" numFmtId="0" xfId="0" applyAlignment="1" applyFont="1">
      <alignment readingOrder="0"/>
    </xf>
    <xf borderId="0" fillId="6" fontId="2" numFmtId="164" xfId="0" applyAlignment="1" applyFont="1" applyNumberFormat="1">
      <alignment readingOrder="0"/>
    </xf>
    <xf borderId="0" fillId="6" fontId="2" numFmtId="165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7" fontId="2" numFmtId="164" xfId="0" applyAlignment="1" applyFont="1" applyNumberFormat="1">
      <alignment readingOrder="0"/>
    </xf>
    <xf borderId="0" fillId="7" fontId="2" numFmtId="165" xfId="0" applyAlignment="1" applyFont="1" applyNumberFormat="1">
      <alignment readingOrder="0"/>
    </xf>
    <xf borderId="0" fillId="8" fontId="2" numFmtId="0" xfId="0" applyFill="1" applyFont="1"/>
    <xf borderId="0" fillId="8" fontId="2" numFmtId="0" xfId="0" applyAlignment="1" applyFont="1">
      <alignment readingOrder="0"/>
    </xf>
    <xf borderId="0" fillId="8" fontId="2" numFmtId="164" xfId="0" applyAlignment="1" applyFont="1" applyNumberFormat="1">
      <alignment readingOrder="0"/>
    </xf>
    <xf borderId="0" fillId="8" fontId="2" numFmtId="165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9" fontId="2" numFmtId="164" xfId="0" applyAlignment="1" applyFont="1" applyNumberFormat="1">
      <alignment readingOrder="0"/>
    </xf>
    <xf borderId="0" fillId="9" fontId="2" numFmtId="165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9" fontId="4" numFmtId="0" xfId="0" applyAlignment="1" applyFont="1">
      <alignment readingOrder="0"/>
    </xf>
    <xf borderId="0" fillId="9" fontId="2" numFmtId="0" xfId="0" applyFont="1"/>
    <xf borderId="0" fillId="10" fontId="1" numFmtId="0" xfId="0" applyAlignment="1" applyFill="1" applyFont="1">
      <alignment readingOrder="0"/>
    </xf>
    <xf borderId="0" fillId="10" fontId="2" numFmtId="0" xfId="0" applyFont="1"/>
    <xf borderId="0" fillId="10" fontId="2" numFmtId="164" xfId="0" applyFont="1" applyNumberFormat="1"/>
    <xf borderId="0" fillId="10" fontId="2" numFmtId="165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21" sheet="Investments"/>
  </cacheSource>
  <cacheFields>
    <cacheField name="Company" numFmtId="0">
      <sharedItems containsBlank="1">
        <s v="Podia"/>
        <m/>
        <s v="Wistia"/>
        <s v="Tribe Capital"/>
        <s v="Farmstead"/>
        <s v="Lithic"/>
        <s v="MetaMap"/>
        <s v="Pry"/>
        <s v="Brex (via Pry)"/>
        <s v="Cash (via Pry)"/>
        <s v="Docker"/>
        <s v="Ramp"/>
        <s v="Ardius"/>
        <s v="Gusto (via Ardius)"/>
        <s v="Bungalow Capital"/>
        <s v="Republic"/>
        <s v="Customer.io"/>
        <s v="Forage"/>
        <s v="Beacons"/>
        <s v="CapitalX"/>
        <s v="Earl Grey Capital"/>
        <s v="Accelpay"/>
        <s v="Pipe"/>
        <s v="Prequel"/>
        <s v="CopyAI"/>
        <s v="Fullcast (via CopyAI)"/>
        <s v="Blushh"/>
        <s v="Double"/>
        <s v="Flow Club"/>
        <s v="Keep"/>
        <s v="Mighty Buildings"/>
        <s v="Milk Video"/>
        <s v="Operator"/>
        <s v="Pragmatic Leaders"/>
        <s v="Promoted.ai"/>
        <s v="Rosebud AI"/>
        <s v="Steady"/>
        <s v="Veera"/>
        <s v="Wynter"/>
        <s v="Zingbus"/>
        <s v="Untitled Ventures"/>
        <s v="OpenWrench"/>
        <s v="Super Abstractions"/>
        <s v="Monarch"/>
        <s v="Alloy"/>
        <s v="Caplight"/>
        <s v="AbstractOps"/>
        <s v="ChangeEngine"/>
        <s v="Cloudberry"/>
        <s v="Merit"/>
        <s v="RankScience"/>
        <s v="Rain"/>
        <s v="Fireside"/>
        <s v="OfficeTogether"/>
        <s v="Envoy (via OfficeTogether)"/>
        <s v="Cash (via OfficeTogether)"/>
        <s v="Taloflow"/>
        <s v="Atai Life Sciences"/>
        <s v="Arrows.to"/>
        <s v="Rise"/>
        <s v="Driveway"/>
        <s v="Heyday"/>
        <s v="Taxwire"/>
        <s v="Truewind"/>
        <s v="Jo"/>
        <s v="Autograph"/>
        <s v="The Network"/>
        <s v="Commerce Rays"/>
        <s v="Spark"/>
        <s v="Momentic"/>
        <s v="Termina"/>
        <s v="GoldDust"/>
        <s v="Foundation"/>
        <s v="Prune"/>
        <s v="Pax"/>
        <s v="Hamming"/>
        <s v="Anyreach"/>
        <s v="Sunflower"/>
        <s v="Ember"/>
        <s v="Asari"/>
        <s v="Dynamic Fund"/>
        <s v="Wafer"/>
        <s v="HomeFig"/>
        <s v="Crytronic"/>
        <s v="SpotPay"/>
        <s v="Anvil Robotics"/>
        <s v="Replit"/>
        <s v="SchoolHouse"/>
        <s v="Runwise (via SchoolHouse)"/>
        <s v="Karmic"/>
        <s v="Mixily"/>
        <s v="Alka"/>
        <s v="Invenia"/>
        <s v="Total"/>
      </sharedItems>
    </cacheField>
    <cacheField name="Fund" numFmtId="0">
      <sharedItems containsBlank="1">
        <m/>
        <s v="Walter Chen"/>
        <s v="Golden Wok"/>
      </sharedItems>
    </cacheField>
    <cacheField name="Round" numFmtId="0">
      <sharedItems containsBlank="1">
        <m/>
        <s v="Seed"/>
        <s v="Series A"/>
        <s v="Secondary"/>
        <s v="Fund I"/>
        <s v="Fund II"/>
        <s v="Crypto Fund I"/>
        <s v="Series B"/>
        <s v="Series C"/>
        <s v="Series D"/>
        <s v="Fund III"/>
      </sharedItems>
    </cacheField>
    <cacheField name="Year" numFmtId="0">
      <sharedItems containsString="0" containsBlank="1" containsNumber="1" containsInteger="1">
        <m/>
        <n v="2016.0"/>
        <n v="2020.0"/>
        <n v="2022.0"/>
        <n v="2019.0"/>
        <n v="2021.0"/>
        <n v="2017.0"/>
        <n v="2024.0"/>
        <n v="2025.0"/>
        <n v="2023.0"/>
      </sharedItems>
    </cacheField>
    <cacheField name="Cost basis" numFmtId="164">
      <sharedItems containsString="0" containsBlank="1" containsNumber="1">
        <n v="265500.0"/>
        <n v="5000.0"/>
        <n v="10000.0"/>
        <n v="250500.0"/>
        <n v="239000.0"/>
        <n v="152000.0"/>
        <n v="51000.0"/>
        <n v="25000.0"/>
        <n v="75000.0"/>
        <n v="50000.0"/>
        <n v="70000.0"/>
        <n v="20000.0"/>
        <m/>
        <n v="3336.0"/>
        <n v="35000.0"/>
        <n v="15000.0"/>
        <n v="2500.0"/>
        <n v="9000.0"/>
        <n v="1000.0"/>
        <n v="500.0"/>
        <n v="7500.0"/>
        <n v="9093.27"/>
        <n v="4093.27"/>
        <n v="1583429.27"/>
      </sharedItems>
    </cacheField>
    <cacheField name="Current carrying value" numFmtId="164">
      <sharedItems containsString="0" containsBlank="1" containsNumber="1">
        <n v="272095.6"/>
        <n v="11595.6"/>
        <n v="10000.0"/>
        <n v="250500.0"/>
        <n v="239000.0"/>
        <n v="206642.91"/>
        <n v="105642.91"/>
        <n v="51000.0"/>
        <n v="25000.0"/>
        <n v="0.0"/>
        <n v="127627.12"/>
        <n v="77628.42"/>
        <n v="49998.7"/>
        <n v="110178.31999999999"/>
        <n v="67005.65"/>
        <n v="43172.67"/>
        <n v="107239.07"/>
        <n v="195000.0"/>
        <n v="82584.03"/>
        <n v="78359.08"/>
        <n v="4224.95"/>
        <n v="80027.0"/>
        <n v="30027.0"/>
        <n v="45933.3"/>
        <n v="41106.0"/>
        <n v="16106.0"/>
        <n v="37427.62"/>
        <n v="34423.0"/>
        <n v="27231.37"/>
        <n v="24472.49"/>
        <n v="15000.0"/>
        <n v="1459.34"/>
        <n v="128000.0"/>
        <n v="7722.12"/>
        <n v="9885.0"/>
        <n v="5000.0"/>
        <n v="4613.3"/>
        <n v="3613.3"/>
        <n v="1000.0"/>
        <n v="3163.49"/>
        <n v="3032.87"/>
        <n v="3050.23"/>
        <n v="299.0"/>
        <n v="500.0"/>
        <n v="7500.0"/>
        <n v="39644.41"/>
        <n v="49987.5"/>
        <n v="2500.0"/>
        <n v="1992.87"/>
        <m/>
        <n v="2089837.9600000004"/>
      </sharedItems>
    </cacheField>
    <cacheField name="Gross multiple" numFmtId="165">
      <sharedItems containsString="0" containsBlank="1" containsNumber="1">
        <n v="1.0248421845574387"/>
        <n v="1.7"/>
        <n v="1.0"/>
        <n v="1.3594928289473684"/>
        <n v="2.0714296078431373"/>
        <n v="0.0"/>
        <n v="1.8232445714285714"/>
        <n v="3.9"/>
        <n v="11.017831999999999"/>
        <m/>
        <n v="5.3619535"/>
        <n v="58.45323741007194"/>
        <n v="2.8"/>
        <n v="1.0670266666666666"/>
        <n v="1.20108"/>
        <n v="4.6"/>
        <n v="1.1744571428571429"/>
        <n v="1.6106"/>
        <n v="1.4971048"/>
        <n v="3.4423"/>
        <n v="1.0892548"/>
        <n v="2.4"/>
        <n v="0.5837359999999999"/>
        <n v="12.8"/>
        <n v="1.544424"/>
        <n v="1.977"/>
        <n v="0.46133"/>
        <n v="1.3"/>
        <n v="0.303287"/>
        <n v="1.220092"/>
        <n v="0.1196"/>
        <n v="3.9644410000000003"/>
        <n v="9.9975"/>
        <n v="0.21915878446367476"/>
        <n v="1.319817689109663"/>
      </sharedItems>
    </cacheField>
    <cacheField name="Status" numFmtId="0">
      <sharedItems containsBlank="1">
        <s v="Active"/>
        <m/>
        <s v="Inactive"/>
        <s v="Acquired"/>
        <s v="IP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y year" cacheId="0" dataCaption="" compact="0" compactData="0">
  <location ref="A1:C8" firstHeaderRow="0" firstDataRow="2" firstDataCol="0"/>
  <pivotFields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Fund" compact="0" outline="0" multipleItemSelectionAllowed="1" showAll="0">
      <items>
        <item x="0"/>
        <item x="1"/>
        <item x="2"/>
        <item t="default"/>
      </items>
    </pivotField>
    <pivotField name="Rou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Year" axis="axisRow" compact="0" outline="0" multipleItemSelectionAllowed="1" showAll="0" sortType="ascending">
      <items>
        <item h="1" x="0"/>
        <item x="1"/>
        <item x="6"/>
        <item x="4"/>
        <item x="2"/>
        <item x="5"/>
        <item x="3"/>
        <item h="1" x="9"/>
        <item h="1" x="7"/>
        <item h="1" x="8"/>
        <item t="default"/>
      </items>
    </pivotField>
    <pivotField name="Cost basi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urrent carrying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Gross multipl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colFields>
    <field x="-2"/>
  </colFields>
  <dataFields>
    <dataField name="Cost" fld="4" baseField="0"/>
    <dataField name="Current carrying value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ustomer.io" TargetMode="External"/><Relationship Id="rId2" Type="http://schemas.openxmlformats.org/officeDocument/2006/relationships/hyperlink" Target="http://promoted.ai" TargetMode="External"/><Relationship Id="rId3" Type="http://schemas.openxmlformats.org/officeDocument/2006/relationships/hyperlink" Target="http://arrows.t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38"/>
    <col customWidth="1" min="6" max="6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/>
      <c r="C2" s="2"/>
      <c r="D2" s="2"/>
      <c r="E2" s="3">
        <f t="shared" ref="E2:F2" si="1">SUM(E3:E5)</f>
        <v>265500</v>
      </c>
      <c r="F2" s="3">
        <f t="shared" si="1"/>
        <v>272095.6</v>
      </c>
      <c r="G2" s="4">
        <f>F2/E2</f>
        <v>1.024842185</v>
      </c>
      <c r="H2" s="2" t="s">
        <v>9</v>
      </c>
    </row>
    <row r="3">
      <c r="A3" s="5"/>
      <c r="B3" s="6" t="s">
        <v>10</v>
      </c>
      <c r="C3" s="6" t="s">
        <v>11</v>
      </c>
      <c r="D3" s="6">
        <v>2016.0</v>
      </c>
      <c r="E3" s="7">
        <v>5000.0</v>
      </c>
      <c r="F3" s="7">
        <v>11595.6</v>
      </c>
      <c r="G3" s="8">
        <v>1.7</v>
      </c>
      <c r="H3" s="5"/>
    </row>
    <row r="4">
      <c r="A4" s="5"/>
      <c r="B4" s="6" t="s">
        <v>10</v>
      </c>
      <c r="C4" s="6" t="s">
        <v>12</v>
      </c>
      <c r="D4" s="6">
        <v>2020.0</v>
      </c>
      <c r="E4" s="7">
        <v>10000.0</v>
      </c>
      <c r="F4" s="7">
        <v>10000.0</v>
      </c>
      <c r="G4" s="8">
        <v>1.0</v>
      </c>
      <c r="H4" s="5"/>
    </row>
    <row r="5">
      <c r="A5" s="5"/>
      <c r="B5" s="6" t="s">
        <v>13</v>
      </c>
      <c r="C5" s="6" t="s">
        <v>14</v>
      </c>
      <c r="D5" s="6">
        <v>2022.0</v>
      </c>
      <c r="E5" s="7">
        <v>250500.0</v>
      </c>
      <c r="F5" s="7">
        <v>250500.0</v>
      </c>
      <c r="G5" s="8">
        <f t="shared" ref="G5:G8" si="2">F5/E5</f>
        <v>1</v>
      </c>
      <c r="H5" s="5"/>
    </row>
    <row r="6">
      <c r="A6" s="2" t="s">
        <v>15</v>
      </c>
      <c r="B6" s="2" t="s">
        <v>13</v>
      </c>
      <c r="C6" s="2" t="s">
        <v>14</v>
      </c>
      <c r="D6" s="2">
        <v>2022.0</v>
      </c>
      <c r="E6" s="3">
        <v>239000.0</v>
      </c>
      <c r="F6" s="3">
        <v>239000.0</v>
      </c>
      <c r="G6" s="4">
        <f t="shared" si="2"/>
        <v>1</v>
      </c>
      <c r="H6" s="2" t="s">
        <v>9</v>
      </c>
    </row>
    <row r="7">
      <c r="A7" s="2" t="s">
        <v>16</v>
      </c>
      <c r="B7" s="2"/>
      <c r="C7" s="2"/>
      <c r="D7" s="2"/>
      <c r="E7" s="3">
        <f t="shared" ref="E7:F7" si="3">SUM(E8:E11)</f>
        <v>152000</v>
      </c>
      <c r="F7" s="3">
        <f t="shared" si="3"/>
        <v>206642.91</v>
      </c>
      <c r="G7" s="4">
        <f t="shared" si="2"/>
        <v>1.359492829</v>
      </c>
      <c r="H7" s="2" t="s">
        <v>9</v>
      </c>
    </row>
    <row r="8">
      <c r="A8" s="5"/>
      <c r="B8" s="6" t="s">
        <v>10</v>
      </c>
      <c r="C8" s="6" t="s">
        <v>17</v>
      </c>
      <c r="D8" s="6">
        <v>2019.0</v>
      </c>
      <c r="E8" s="7">
        <v>51000.0</v>
      </c>
      <c r="F8" s="7">
        <v>105642.91</v>
      </c>
      <c r="G8" s="8">
        <f t="shared" si="2"/>
        <v>2.071429608</v>
      </c>
      <c r="H8" s="5"/>
    </row>
    <row r="9">
      <c r="A9" s="5"/>
      <c r="B9" s="6" t="s">
        <v>10</v>
      </c>
      <c r="C9" s="6" t="s">
        <v>18</v>
      </c>
      <c r="D9" s="6">
        <v>2021.0</v>
      </c>
      <c r="E9" s="7">
        <v>51000.0</v>
      </c>
      <c r="F9" s="7">
        <v>51000.0</v>
      </c>
      <c r="G9" s="8">
        <v>1.0</v>
      </c>
      <c r="H9" s="5"/>
    </row>
    <row r="10">
      <c r="A10" s="5"/>
      <c r="B10" s="6" t="s">
        <v>13</v>
      </c>
      <c r="C10" s="6" t="s">
        <v>19</v>
      </c>
      <c r="D10" s="6">
        <v>2021.0</v>
      </c>
      <c r="E10" s="7">
        <v>25000.0</v>
      </c>
      <c r="F10" s="7">
        <v>25000.0</v>
      </c>
      <c r="G10" s="8">
        <v>1.0</v>
      </c>
      <c r="H10" s="5"/>
    </row>
    <row r="11">
      <c r="A11" s="5"/>
      <c r="B11" s="6" t="s">
        <v>13</v>
      </c>
      <c r="C11" s="6" t="s">
        <v>11</v>
      </c>
      <c r="D11" s="6">
        <v>2022.0</v>
      </c>
      <c r="E11" s="7">
        <v>25000.0</v>
      </c>
      <c r="F11" s="7">
        <v>25000.0</v>
      </c>
      <c r="G11" s="8">
        <f t="shared" ref="G11:G12" si="4">F11/E11</f>
        <v>1</v>
      </c>
      <c r="H11" s="5"/>
    </row>
    <row r="12">
      <c r="A12" s="9" t="s">
        <v>20</v>
      </c>
      <c r="B12" s="9"/>
      <c r="C12" s="9"/>
      <c r="D12" s="9"/>
      <c r="E12" s="10">
        <f>SUM(E13:E16)</f>
        <v>75000</v>
      </c>
      <c r="F12" s="10">
        <v>0.0</v>
      </c>
      <c r="G12" s="11">
        <f t="shared" si="4"/>
        <v>0</v>
      </c>
      <c r="H12" s="9" t="s">
        <v>21</v>
      </c>
    </row>
    <row r="13">
      <c r="A13" s="12"/>
      <c r="B13" s="13" t="s">
        <v>10</v>
      </c>
      <c r="C13" s="13" t="s">
        <v>11</v>
      </c>
      <c r="D13" s="13">
        <v>2016.0</v>
      </c>
      <c r="E13" s="14">
        <v>5000.0</v>
      </c>
      <c r="F13" s="14">
        <v>0.0</v>
      </c>
      <c r="G13" s="15">
        <v>0.0</v>
      </c>
      <c r="H13" s="12"/>
    </row>
    <row r="14">
      <c r="A14" s="12"/>
      <c r="B14" s="13" t="s">
        <v>10</v>
      </c>
      <c r="C14" s="13" t="s">
        <v>11</v>
      </c>
      <c r="D14" s="13">
        <v>2017.0</v>
      </c>
      <c r="E14" s="14">
        <v>10000.0</v>
      </c>
      <c r="F14" s="14">
        <v>0.0</v>
      </c>
      <c r="G14" s="15">
        <v>0.0</v>
      </c>
      <c r="H14" s="12"/>
    </row>
    <row r="15">
      <c r="A15" s="12"/>
      <c r="B15" s="13" t="s">
        <v>10</v>
      </c>
      <c r="C15" s="13" t="s">
        <v>12</v>
      </c>
      <c r="D15" s="13">
        <v>2020.0</v>
      </c>
      <c r="E15" s="14">
        <v>10000.0</v>
      </c>
      <c r="F15" s="14">
        <v>0.0</v>
      </c>
      <c r="G15" s="15">
        <v>0.0</v>
      </c>
      <c r="H15" s="12"/>
    </row>
    <row r="16">
      <c r="A16" s="12"/>
      <c r="B16" s="13" t="s">
        <v>10</v>
      </c>
      <c r="C16" s="13" t="s">
        <v>22</v>
      </c>
      <c r="D16" s="13">
        <v>2021.0</v>
      </c>
      <c r="E16" s="14">
        <v>50000.0</v>
      </c>
      <c r="F16" s="14">
        <v>0.0</v>
      </c>
      <c r="G16" s="15">
        <v>0.0</v>
      </c>
      <c r="H16" s="12"/>
    </row>
    <row r="17">
      <c r="A17" s="2" t="s">
        <v>23</v>
      </c>
      <c r="B17" s="2"/>
      <c r="C17" s="2"/>
      <c r="D17" s="2"/>
      <c r="E17" s="3">
        <f t="shared" ref="E17:F17" si="5">SUM(E18:E19)</f>
        <v>70000</v>
      </c>
      <c r="F17" s="3">
        <f t="shared" si="5"/>
        <v>127627.12</v>
      </c>
      <c r="G17" s="4">
        <f>F17/E17</f>
        <v>1.823244571</v>
      </c>
      <c r="H17" s="2" t="s">
        <v>9</v>
      </c>
    </row>
    <row r="18">
      <c r="A18" s="5"/>
      <c r="B18" s="6" t="s">
        <v>13</v>
      </c>
      <c r="C18" s="6" t="s">
        <v>22</v>
      </c>
      <c r="D18" s="6">
        <v>2020.0</v>
      </c>
      <c r="E18" s="7">
        <v>20000.0</v>
      </c>
      <c r="F18" s="7">
        <v>77628.42</v>
      </c>
      <c r="G18" s="6">
        <v>3.9</v>
      </c>
      <c r="H18" s="5"/>
    </row>
    <row r="19">
      <c r="A19" s="5"/>
      <c r="B19" s="6" t="s">
        <v>13</v>
      </c>
      <c r="C19" s="6" t="s">
        <v>24</v>
      </c>
      <c r="D19" s="6">
        <v>2021.0</v>
      </c>
      <c r="E19" s="7">
        <v>50000.0</v>
      </c>
      <c r="F19" s="7">
        <v>49998.7</v>
      </c>
      <c r="G19" s="8">
        <v>1.0</v>
      </c>
      <c r="H19" s="5"/>
    </row>
    <row r="20">
      <c r="A20" s="16" t="s">
        <v>25</v>
      </c>
      <c r="B20" s="16"/>
      <c r="C20" s="16"/>
      <c r="D20" s="16"/>
      <c r="E20" s="17">
        <f>SUM(E21:E22)</f>
        <v>20000</v>
      </c>
      <c r="F20" s="17">
        <v>0.0</v>
      </c>
      <c r="G20" s="18">
        <f>F20/E20</f>
        <v>0</v>
      </c>
      <c r="H20" s="16" t="s">
        <v>26</v>
      </c>
    </row>
    <row r="21">
      <c r="A21" s="19"/>
      <c r="B21" s="20" t="s">
        <v>13</v>
      </c>
      <c r="C21" s="20" t="s">
        <v>12</v>
      </c>
      <c r="D21" s="20">
        <v>2020.0</v>
      </c>
      <c r="E21" s="21">
        <v>10000.0</v>
      </c>
      <c r="F21" s="21">
        <v>0.0</v>
      </c>
      <c r="G21" s="22">
        <v>0.0</v>
      </c>
      <c r="H21" s="19"/>
    </row>
    <row r="22">
      <c r="A22" s="19"/>
      <c r="B22" s="20" t="s">
        <v>13</v>
      </c>
      <c r="C22" s="20" t="s">
        <v>22</v>
      </c>
      <c r="D22" s="20">
        <v>2021.0</v>
      </c>
      <c r="E22" s="21">
        <v>10000.0</v>
      </c>
      <c r="F22" s="21">
        <v>0.0</v>
      </c>
      <c r="G22" s="22">
        <v>0.0</v>
      </c>
      <c r="H22" s="19"/>
    </row>
    <row r="23">
      <c r="A23" s="23" t="s">
        <v>27</v>
      </c>
      <c r="B23" s="23" t="s">
        <v>10</v>
      </c>
      <c r="C23" s="23" t="s">
        <v>11</v>
      </c>
      <c r="D23" s="23">
        <v>2019.0</v>
      </c>
      <c r="E23" s="24">
        <v>10000.0</v>
      </c>
      <c r="F23" s="24">
        <f>F24+F25</f>
        <v>110178.32</v>
      </c>
      <c r="G23" s="25">
        <f>F23/E23</f>
        <v>11.017832</v>
      </c>
      <c r="H23" s="23" t="s">
        <v>26</v>
      </c>
    </row>
    <row r="24">
      <c r="A24" s="20" t="s">
        <v>28</v>
      </c>
      <c r="B24" s="20" t="s">
        <v>10</v>
      </c>
      <c r="C24" s="20" t="s">
        <v>29</v>
      </c>
      <c r="D24" s="20">
        <v>2022.0</v>
      </c>
      <c r="E24" s="21"/>
      <c r="F24" s="21">
        <v>67005.65</v>
      </c>
      <c r="G24" s="22"/>
      <c r="H24" s="20" t="s">
        <v>9</v>
      </c>
    </row>
    <row r="25">
      <c r="A25" s="20" t="s">
        <v>30</v>
      </c>
      <c r="B25" s="20" t="s">
        <v>10</v>
      </c>
      <c r="C25" s="20"/>
      <c r="D25" s="20"/>
      <c r="E25" s="21"/>
      <c r="F25" s="21">
        <v>43172.67</v>
      </c>
      <c r="G25" s="22"/>
      <c r="H25" s="20"/>
    </row>
    <row r="26">
      <c r="A26" s="2" t="s">
        <v>31</v>
      </c>
      <c r="B26" s="2" t="s">
        <v>13</v>
      </c>
      <c r="C26" s="2" t="s">
        <v>22</v>
      </c>
      <c r="D26" s="2">
        <v>2021.0</v>
      </c>
      <c r="E26" s="3">
        <v>20000.0</v>
      </c>
      <c r="F26" s="3">
        <v>107239.07</v>
      </c>
      <c r="G26" s="4">
        <f t="shared" ref="G26:G27" si="6">F26/E26</f>
        <v>5.3619535</v>
      </c>
      <c r="H26" s="2" t="s">
        <v>9</v>
      </c>
    </row>
    <row r="27">
      <c r="A27" s="2" t="s">
        <v>32</v>
      </c>
      <c r="B27" s="2" t="s">
        <v>10</v>
      </c>
      <c r="C27" s="2" t="s">
        <v>22</v>
      </c>
      <c r="D27" s="2">
        <v>2021.0</v>
      </c>
      <c r="E27" s="3">
        <v>3336.0</v>
      </c>
      <c r="F27" s="3">
        <v>195000.0</v>
      </c>
      <c r="G27" s="4">
        <f t="shared" si="6"/>
        <v>58.45323741</v>
      </c>
      <c r="H27" s="2" t="s">
        <v>9</v>
      </c>
    </row>
    <row r="28">
      <c r="A28" s="23" t="s">
        <v>33</v>
      </c>
      <c r="B28" s="23" t="s">
        <v>13</v>
      </c>
      <c r="C28" s="23" t="s">
        <v>11</v>
      </c>
      <c r="D28" s="23">
        <v>2020.0</v>
      </c>
      <c r="E28" s="24">
        <v>25000.0</v>
      </c>
      <c r="F28" s="24">
        <f>F29</f>
        <v>82584.03</v>
      </c>
      <c r="G28" s="23">
        <v>2.8</v>
      </c>
      <c r="H28" s="23" t="s">
        <v>26</v>
      </c>
    </row>
    <row r="29">
      <c r="A29" s="20" t="s">
        <v>34</v>
      </c>
      <c r="B29" s="20"/>
      <c r="C29" s="20"/>
      <c r="D29" s="20"/>
      <c r="E29" s="21"/>
      <c r="F29" s="21">
        <f>SUM(F30:F31)</f>
        <v>82584.03</v>
      </c>
      <c r="G29" s="22"/>
      <c r="H29" s="20" t="s">
        <v>9</v>
      </c>
    </row>
    <row r="30">
      <c r="A30" s="19"/>
      <c r="B30" s="20" t="s">
        <v>13</v>
      </c>
      <c r="C30" s="20" t="s">
        <v>29</v>
      </c>
      <c r="D30" s="20">
        <v>2021.0</v>
      </c>
      <c r="E30" s="21"/>
      <c r="F30" s="21">
        <v>78359.08</v>
      </c>
      <c r="G30" s="19"/>
      <c r="H30" s="19"/>
    </row>
    <row r="31">
      <c r="A31" s="19"/>
      <c r="B31" s="20" t="s">
        <v>10</v>
      </c>
      <c r="C31" s="20" t="s">
        <v>29</v>
      </c>
      <c r="D31" s="20">
        <v>2021.0</v>
      </c>
      <c r="E31" s="21"/>
      <c r="F31" s="21">
        <v>4224.95</v>
      </c>
      <c r="G31" s="19"/>
      <c r="H31" s="19"/>
    </row>
    <row r="32">
      <c r="A32" s="2" t="s">
        <v>35</v>
      </c>
      <c r="B32" s="2"/>
      <c r="C32" s="2"/>
      <c r="D32" s="2"/>
      <c r="E32" s="3">
        <f t="shared" ref="E32:F32" si="7">SUM(E33:E35)</f>
        <v>75000</v>
      </c>
      <c r="F32" s="3">
        <f t="shared" si="7"/>
        <v>80027</v>
      </c>
      <c r="G32" s="4">
        <f t="shared" ref="G32:G35" si="8">F32/E32</f>
        <v>1.067026667</v>
      </c>
      <c r="H32" s="2" t="s">
        <v>9</v>
      </c>
    </row>
    <row r="33">
      <c r="A33" s="6"/>
      <c r="B33" s="6" t="s">
        <v>13</v>
      </c>
      <c r="C33" s="6" t="s">
        <v>17</v>
      </c>
      <c r="D33" s="6">
        <v>2020.0</v>
      </c>
      <c r="E33" s="7">
        <v>25000.0</v>
      </c>
      <c r="F33" s="7">
        <v>30027.0</v>
      </c>
      <c r="G33" s="8">
        <f t="shared" si="8"/>
        <v>1.20108</v>
      </c>
      <c r="H33" s="6"/>
    </row>
    <row r="34">
      <c r="A34" s="6"/>
      <c r="B34" s="6" t="s">
        <v>13</v>
      </c>
      <c r="C34" s="6" t="s">
        <v>18</v>
      </c>
      <c r="D34" s="6">
        <v>2022.0</v>
      </c>
      <c r="E34" s="7">
        <v>25000.0</v>
      </c>
      <c r="F34" s="7">
        <v>25000.0</v>
      </c>
      <c r="G34" s="8">
        <f t="shared" si="8"/>
        <v>1</v>
      </c>
      <c r="H34" s="6"/>
    </row>
    <row r="35">
      <c r="A35" s="6"/>
      <c r="B35" s="6" t="s">
        <v>13</v>
      </c>
      <c r="C35" s="6" t="s">
        <v>36</v>
      </c>
      <c r="D35" s="6">
        <v>2024.0</v>
      </c>
      <c r="E35" s="7">
        <v>25000.0</v>
      </c>
      <c r="F35" s="7">
        <v>25000.0</v>
      </c>
      <c r="G35" s="8">
        <f t="shared" si="8"/>
        <v>1</v>
      </c>
      <c r="H35" s="6"/>
    </row>
    <row r="36">
      <c r="A36" s="2" t="s">
        <v>37</v>
      </c>
      <c r="B36" s="2" t="s">
        <v>13</v>
      </c>
      <c r="C36" s="2" t="s">
        <v>12</v>
      </c>
      <c r="D36" s="2">
        <v>2021.0</v>
      </c>
      <c r="E36" s="3">
        <v>10000.0</v>
      </c>
      <c r="F36" s="3">
        <v>45933.3</v>
      </c>
      <c r="G36" s="2">
        <v>4.6</v>
      </c>
      <c r="H36" s="2" t="s">
        <v>9</v>
      </c>
    </row>
    <row r="37">
      <c r="A37" s="26" t="s">
        <v>38</v>
      </c>
      <c r="B37" s="2"/>
      <c r="C37" s="2"/>
      <c r="D37" s="2"/>
      <c r="E37" s="3">
        <f t="shared" ref="E37:F37" si="9">SUM(E38:E39)</f>
        <v>35000</v>
      </c>
      <c r="F37" s="3">
        <f t="shared" si="9"/>
        <v>41106</v>
      </c>
      <c r="G37" s="4">
        <f t="shared" ref="G37:G42" si="10">F37/E37</f>
        <v>1.174457143</v>
      </c>
      <c r="H37" s="2" t="s">
        <v>9</v>
      </c>
    </row>
    <row r="38">
      <c r="A38" s="6"/>
      <c r="B38" s="6" t="s">
        <v>13</v>
      </c>
      <c r="C38" s="6" t="s">
        <v>11</v>
      </c>
      <c r="D38" s="6">
        <v>2021.0</v>
      </c>
      <c r="E38" s="7">
        <v>10000.0</v>
      </c>
      <c r="F38" s="7">
        <v>16106.0</v>
      </c>
      <c r="G38" s="8">
        <f t="shared" si="10"/>
        <v>1.6106</v>
      </c>
      <c r="H38" s="6"/>
    </row>
    <row r="39">
      <c r="A39" s="6"/>
      <c r="B39" s="6" t="s">
        <v>13</v>
      </c>
      <c r="C39" s="6" t="s">
        <v>12</v>
      </c>
      <c r="D39" s="6">
        <v>2022.0</v>
      </c>
      <c r="E39" s="7">
        <v>25000.0</v>
      </c>
      <c r="F39" s="7">
        <v>25000.0</v>
      </c>
      <c r="G39" s="8">
        <f t="shared" si="10"/>
        <v>1</v>
      </c>
      <c r="H39" s="6"/>
    </row>
    <row r="40">
      <c r="A40" s="2" t="s">
        <v>39</v>
      </c>
      <c r="B40" s="2" t="s">
        <v>13</v>
      </c>
      <c r="C40" s="2" t="s">
        <v>11</v>
      </c>
      <c r="D40" s="2">
        <v>2021.0</v>
      </c>
      <c r="E40" s="3">
        <v>25000.0</v>
      </c>
      <c r="F40" s="3">
        <v>37427.62</v>
      </c>
      <c r="G40" s="4">
        <f t="shared" si="10"/>
        <v>1.4971048</v>
      </c>
      <c r="H40" s="2" t="s">
        <v>9</v>
      </c>
    </row>
    <row r="41">
      <c r="A41" s="2" t="s">
        <v>40</v>
      </c>
      <c r="B41" s="2" t="s">
        <v>13</v>
      </c>
      <c r="C41" s="2" t="s">
        <v>11</v>
      </c>
      <c r="D41" s="2">
        <v>2021.0</v>
      </c>
      <c r="E41" s="3">
        <v>10000.0</v>
      </c>
      <c r="F41" s="3">
        <v>34423.0</v>
      </c>
      <c r="G41" s="4">
        <f t="shared" si="10"/>
        <v>3.4423</v>
      </c>
      <c r="H41" s="2" t="s">
        <v>9</v>
      </c>
    </row>
    <row r="42">
      <c r="A42" s="2" t="s">
        <v>41</v>
      </c>
      <c r="B42" s="2" t="s">
        <v>13</v>
      </c>
      <c r="C42" s="2" t="s">
        <v>17</v>
      </c>
      <c r="D42" s="2">
        <v>2020.0</v>
      </c>
      <c r="E42" s="3">
        <v>25000.0</v>
      </c>
      <c r="F42" s="3">
        <v>27231.37</v>
      </c>
      <c r="G42" s="4">
        <f t="shared" si="10"/>
        <v>1.0892548</v>
      </c>
      <c r="H42" s="2" t="s">
        <v>9</v>
      </c>
    </row>
    <row r="43">
      <c r="A43" s="2" t="s">
        <v>42</v>
      </c>
      <c r="B43" s="2" t="s">
        <v>13</v>
      </c>
      <c r="C43" s="2" t="s">
        <v>18</v>
      </c>
      <c r="D43" s="2">
        <v>2022.0</v>
      </c>
      <c r="E43" s="3">
        <v>25000.0</v>
      </c>
      <c r="F43" s="3">
        <v>25000.0</v>
      </c>
      <c r="G43" s="4">
        <v>1.0</v>
      </c>
      <c r="H43" s="2" t="s">
        <v>9</v>
      </c>
    </row>
    <row r="44">
      <c r="A44" s="2" t="s">
        <v>43</v>
      </c>
      <c r="B44" s="2" t="s">
        <v>13</v>
      </c>
      <c r="C44" s="2" t="s">
        <v>11</v>
      </c>
      <c r="D44" s="2">
        <v>2021.0</v>
      </c>
      <c r="E44" s="3">
        <v>10000.0</v>
      </c>
      <c r="F44" s="3">
        <v>24472.49</v>
      </c>
      <c r="G44" s="2">
        <v>2.4</v>
      </c>
      <c r="H44" s="2" t="s">
        <v>9</v>
      </c>
    </row>
    <row r="45">
      <c r="A45" s="2" t="s">
        <v>44</v>
      </c>
      <c r="B45" s="2"/>
      <c r="C45" s="2"/>
      <c r="D45" s="2"/>
      <c r="E45" s="3">
        <f>SUM(E46:E47)</f>
        <v>20000</v>
      </c>
      <c r="F45" s="3">
        <v>0.0</v>
      </c>
      <c r="G45" s="4">
        <f>F45/E45</f>
        <v>0</v>
      </c>
      <c r="H45" s="2" t="s">
        <v>9</v>
      </c>
    </row>
    <row r="46">
      <c r="A46" s="5"/>
      <c r="B46" s="6" t="s">
        <v>13</v>
      </c>
      <c r="C46" s="6" t="s">
        <v>12</v>
      </c>
      <c r="D46" s="6">
        <v>2021.0</v>
      </c>
      <c r="E46" s="7">
        <v>10000.0</v>
      </c>
      <c r="F46" s="7">
        <v>0.0</v>
      </c>
      <c r="G46" s="8">
        <v>0.0</v>
      </c>
      <c r="H46" s="6"/>
    </row>
    <row r="47">
      <c r="A47" s="5"/>
      <c r="B47" s="6" t="s">
        <v>13</v>
      </c>
      <c r="C47" s="6" t="s">
        <v>12</v>
      </c>
      <c r="D47" s="6">
        <v>2021.0</v>
      </c>
      <c r="E47" s="7">
        <v>10000.0</v>
      </c>
      <c r="F47" s="7">
        <v>0.0</v>
      </c>
      <c r="G47" s="8">
        <v>0.0</v>
      </c>
      <c r="H47" s="6"/>
    </row>
    <row r="48">
      <c r="A48" s="2" t="s">
        <v>45</v>
      </c>
      <c r="B48" s="2" t="s">
        <v>13</v>
      </c>
      <c r="C48" s="2" t="s">
        <v>11</v>
      </c>
      <c r="D48" s="2">
        <v>2022.0</v>
      </c>
      <c r="E48" s="3">
        <v>15000.0</v>
      </c>
      <c r="F48" s="3">
        <v>15000.0</v>
      </c>
      <c r="G48" s="4">
        <f t="shared" ref="G48:G49" si="11">F48/E48</f>
        <v>1</v>
      </c>
      <c r="H48" s="2" t="s">
        <v>9</v>
      </c>
    </row>
    <row r="49">
      <c r="A49" s="23" t="s">
        <v>46</v>
      </c>
      <c r="B49" s="23" t="s">
        <v>13</v>
      </c>
      <c r="C49" s="23" t="s">
        <v>11</v>
      </c>
      <c r="D49" s="23">
        <v>2020.0</v>
      </c>
      <c r="E49" s="24">
        <v>2500.0</v>
      </c>
      <c r="F49" s="24">
        <f>F50</f>
        <v>1459.34</v>
      </c>
      <c r="G49" s="25">
        <f t="shared" si="11"/>
        <v>0.583736</v>
      </c>
      <c r="H49" s="23" t="s">
        <v>26</v>
      </c>
    </row>
    <row r="50">
      <c r="A50" s="20" t="s">
        <v>47</v>
      </c>
      <c r="B50" s="20" t="s">
        <v>13</v>
      </c>
      <c r="C50" s="20" t="s">
        <v>11</v>
      </c>
      <c r="D50" s="20">
        <v>2025.0</v>
      </c>
      <c r="E50" s="21"/>
      <c r="F50" s="21">
        <v>1459.34</v>
      </c>
      <c r="G50" s="22"/>
      <c r="H50" s="20"/>
    </row>
    <row r="51">
      <c r="A51" s="2" t="s">
        <v>48</v>
      </c>
      <c r="B51" s="2" t="s">
        <v>13</v>
      </c>
      <c r="C51" s="2" t="s">
        <v>11</v>
      </c>
      <c r="D51" s="2">
        <v>2021.0</v>
      </c>
      <c r="E51" s="3">
        <v>10000.0</v>
      </c>
      <c r="F51" s="3">
        <v>0.0</v>
      </c>
      <c r="G51" s="4">
        <v>1.0</v>
      </c>
      <c r="H51" s="2" t="s">
        <v>9</v>
      </c>
    </row>
    <row r="52">
      <c r="A52" s="9" t="s">
        <v>49</v>
      </c>
      <c r="B52" s="9" t="s">
        <v>13</v>
      </c>
      <c r="C52" s="9" t="s">
        <v>12</v>
      </c>
      <c r="D52" s="9">
        <v>2021.0</v>
      </c>
      <c r="E52" s="10">
        <v>10000.0</v>
      </c>
      <c r="F52" s="10">
        <v>0.0</v>
      </c>
      <c r="G52" s="11">
        <f>F52/E52</f>
        <v>0</v>
      </c>
      <c r="H52" s="9" t="s">
        <v>26</v>
      </c>
    </row>
    <row r="53">
      <c r="A53" s="2" t="s">
        <v>50</v>
      </c>
      <c r="B53" s="2" t="s">
        <v>10</v>
      </c>
      <c r="C53" s="2" t="s">
        <v>11</v>
      </c>
      <c r="D53" s="2">
        <v>2020.0</v>
      </c>
      <c r="E53" s="3">
        <v>10000.0</v>
      </c>
      <c r="F53" s="3">
        <v>0.0</v>
      </c>
      <c r="G53" s="4">
        <v>1.0</v>
      </c>
      <c r="H53" s="2" t="s">
        <v>9</v>
      </c>
    </row>
    <row r="54">
      <c r="A54" s="2" t="s">
        <v>51</v>
      </c>
      <c r="B54" s="2" t="s">
        <v>13</v>
      </c>
      <c r="C54" s="2" t="s">
        <v>11</v>
      </c>
      <c r="D54" s="2">
        <v>2021.0</v>
      </c>
      <c r="E54" s="3">
        <v>10000.0</v>
      </c>
      <c r="F54" s="3">
        <v>10000.0</v>
      </c>
      <c r="G54" s="4">
        <v>1.0</v>
      </c>
      <c r="H54" s="2" t="s">
        <v>9</v>
      </c>
    </row>
    <row r="55">
      <c r="A55" s="9" t="s">
        <v>52</v>
      </c>
      <c r="B55" s="9" t="s">
        <v>13</v>
      </c>
      <c r="C55" s="9" t="s">
        <v>22</v>
      </c>
      <c r="D55" s="9">
        <v>2021.0</v>
      </c>
      <c r="E55" s="10">
        <v>10000.0</v>
      </c>
      <c r="F55" s="10">
        <v>0.0</v>
      </c>
      <c r="G55" s="11">
        <v>1.0</v>
      </c>
      <c r="H55" s="9" t="s">
        <v>9</v>
      </c>
    </row>
    <row r="56">
      <c r="A56" s="9" t="s">
        <v>53</v>
      </c>
      <c r="B56" s="9" t="s">
        <v>13</v>
      </c>
      <c r="C56" s="9" t="s">
        <v>11</v>
      </c>
      <c r="D56" s="9">
        <v>2021.0</v>
      </c>
      <c r="E56" s="10">
        <v>10000.0</v>
      </c>
      <c r="F56" s="10">
        <v>0.0</v>
      </c>
      <c r="G56" s="11">
        <v>1.0</v>
      </c>
      <c r="H56" s="9" t="s">
        <v>9</v>
      </c>
    </row>
    <row r="57">
      <c r="A57" s="2" t="s">
        <v>54</v>
      </c>
      <c r="B57" s="2" t="s">
        <v>13</v>
      </c>
      <c r="C57" s="2" t="s">
        <v>11</v>
      </c>
      <c r="D57" s="2">
        <v>2021.0</v>
      </c>
      <c r="E57" s="3">
        <v>10000.0</v>
      </c>
      <c r="F57" s="3">
        <v>0.0</v>
      </c>
      <c r="G57" s="4">
        <v>1.0</v>
      </c>
      <c r="H57" s="2" t="s">
        <v>9</v>
      </c>
    </row>
    <row r="58">
      <c r="A58" s="2" t="s">
        <v>55</v>
      </c>
      <c r="B58" s="2" t="s">
        <v>13</v>
      </c>
      <c r="C58" s="2" t="s">
        <v>11</v>
      </c>
      <c r="D58" s="2">
        <v>2021.0</v>
      </c>
      <c r="E58" s="3">
        <v>10000.0</v>
      </c>
      <c r="F58" s="3">
        <v>0.0</v>
      </c>
      <c r="G58" s="4">
        <v>1.0</v>
      </c>
      <c r="H58" s="2" t="s">
        <v>9</v>
      </c>
    </row>
    <row r="59">
      <c r="A59" s="27" t="s">
        <v>56</v>
      </c>
      <c r="B59" s="23" t="s">
        <v>13</v>
      </c>
      <c r="C59" s="23" t="s">
        <v>11</v>
      </c>
      <c r="D59" s="23">
        <v>2021.0</v>
      </c>
      <c r="E59" s="24">
        <v>10000.0</v>
      </c>
      <c r="F59" s="24">
        <v>10000.0</v>
      </c>
      <c r="G59" s="25">
        <v>1.0</v>
      </c>
      <c r="H59" s="23" t="s">
        <v>9</v>
      </c>
    </row>
    <row r="60">
      <c r="A60" s="2" t="s">
        <v>57</v>
      </c>
      <c r="B60" s="2" t="s">
        <v>13</v>
      </c>
      <c r="C60" s="2" t="s">
        <v>11</v>
      </c>
      <c r="D60" s="2">
        <v>2021.0</v>
      </c>
      <c r="E60" s="3">
        <v>10000.0</v>
      </c>
      <c r="F60" s="3">
        <v>10000.0</v>
      </c>
      <c r="G60" s="4">
        <v>1.0</v>
      </c>
      <c r="H60" s="2" t="s">
        <v>9</v>
      </c>
    </row>
    <row r="61">
      <c r="A61" s="9" t="s">
        <v>58</v>
      </c>
      <c r="B61" s="9" t="s">
        <v>13</v>
      </c>
      <c r="C61" s="9" t="s">
        <v>11</v>
      </c>
      <c r="D61" s="9">
        <v>2021.0</v>
      </c>
      <c r="E61" s="10">
        <v>10000.0</v>
      </c>
      <c r="F61" s="10">
        <v>0.0</v>
      </c>
      <c r="G61" s="11">
        <v>1.0</v>
      </c>
      <c r="H61" s="9" t="s">
        <v>9</v>
      </c>
    </row>
    <row r="62">
      <c r="A62" s="2" t="s">
        <v>59</v>
      </c>
      <c r="B62" s="2" t="s">
        <v>13</v>
      </c>
      <c r="C62" s="2" t="s">
        <v>11</v>
      </c>
      <c r="D62" s="2">
        <v>2021.0</v>
      </c>
      <c r="E62" s="3">
        <v>10000.0</v>
      </c>
      <c r="F62" s="3">
        <v>0.0</v>
      </c>
      <c r="G62" s="4">
        <v>1.0</v>
      </c>
      <c r="H62" s="2" t="s">
        <v>9</v>
      </c>
    </row>
    <row r="63">
      <c r="A63" s="2" t="s">
        <v>60</v>
      </c>
      <c r="B63" s="2" t="s">
        <v>13</v>
      </c>
      <c r="C63" s="2" t="s">
        <v>11</v>
      </c>
      <c r="D63" s="2">
        <v>2021.0</v>
      </c>
      <c r="E63" s="3">
        <v>10000.0</v>
      </c>
      <c r="F63" s="3">
        <v>10000.0</v>
      </c>
      <c r="G63" s="4">
        <v>1.0</v>
      </c>
      <c r="H63" s="2" t="s">
        <v>9</v>
      </c>
    </row>
    <row r="64">
      <c r="A64" s="2" t="s">
        <v>61</v>
      </c>
      <c r="B64" s="2" t="s">
        <v>13</v>
      </c>
      <c r="C64" s="2" t="s">
        <v>11</v>
      </c>
      <c r="D64" s="2">
        <v>2021.0</v>
      </c>
      <c r="E64" s="3">
        <v>10000.0</v>
      </c>
      <c r="F64" s="3">
        <v>10000.0</v>
      </c>
      <c r="G64" s="4">
        <v>1.0</v>
      </c>
      <c r="H64" s="2" t="s">
        <v>9</v>
      </c>
    </row>
    <row r="65">
      <c r="A65" s="2" t="s">
        <v>62</v>
      </c>
      <c r="B65" s="2" t="s">
        <v>13</v>
      </c>
      <c r="C65" s="2" t="s">
        <v>17</v>
      </c>
      <c r="D65" s="2">
        <v>2022.0</v>
      </c>
      <c r="E65" s="3">
        <v>10000.0</v>
      </c>
      <c r="F65" s="3">
        <v>10000.0</v>
      </c>
      <c r="G65" s="4">
        <v>1.0</v>
      </c>
      <c r="H65" s="2" t="s">
        <v>9</v>
      </c>
    </row>
    <row r="66">
      <c r="A66" s="2" t="s">
        <v>63</v>
      </c>
      <c r="B66" s="2" t="s">
        <v>13</v>
      </c>
      <c r="C66" s="2" t="s">
        <v>11</v>
      </c>
      <c r="D66" s="2">
        <v>2022.0</v>
      </c>
      <c r="E66" s="3">
        <v>10000.0</v>
      </c>
      <c r="F66" s="3">
        <v>10000.0</v>
      </c>
      <c r="G66" s="4">
        <f>F66/E66</f>
        <v>1</v>
      </c>
      <c r="H66" s="2" t="s">
        <v>9</v>
      </c>
    </row>
    <row r="67">
      <c r="A67" s="23" t="s">
        <v>64</v>
      </c>
      <c r="B67" s="23" t="s">
        <v>13</v>
      </c>
      <c r="C67" s="23" t="s">
        <v>11</v>
      </c>
      <c r="D67" s="23">
        <v>2020.0</v>
      </c>
      <c r="E67" s="24">
        <v>10000.0</v>
      </c>
      <c r="F67" s="24">
        <v>0.0</v>
      </c>
      <c r="G67" s="25">
        <v>0.0</v>
      </c>
      <c r="H67" s="23" t="s">
        <v>26</v>
      </c>
    </row>
    <row r="68">
      <c r="A68" s="2" t="s">
        <v>65</v>
      </c>
      <c r="B68" s="2" t="s">
        <v>13</v>
      </c>
      <c r="C68" s="2" t="s">
        <v>12</v>
      </c>
      <c r="D68" s="2">
        <v>2021.0</v>
      </c>
      <c r="E68" s="3">
        <v>10000.0</v>
      </c>
      <c r="F68" s="3">
        <v>128000.0</v>
      </c>
      <c r="G68" s="4">
        <f t="shared" ref="G68:G78" si="12">F68/E68</f>
        <v>12.8</v>
      </c>
      <c r="H68" s="2" t="s">
        <v>9</v>
      </c>
    </row>
    <row r="69">
      <c r="A69" s="2" t="s">
        <v>66</v>
      </c>
      <c r="B69" s="2" t="s">
        <v>13</v>
      </c>
      <c r="C69" s="2" t="s">
        <v>12</v>
      </c>
      <c r="D69" s="2">
        <v>2022.0</v>
      </c>
      <c r="E69" s="3">
        <v>9000.0</v>
      </c>
      <c r="F69" s="3">
        <v>0.0</v>
      </c>
      <c r="G69" s="4">
        <f t="shared" si="12"/>
        <v>0</v>
      </c>
      <c r="H69" s="2" t="s">
        <v>9</v>
      </c>
    </row>
    <row r="70">
      <c r="A70" s="2" t="s">
        <v>67</v>
      </c>
      <c r="B70" s="2" t="s">
        <v>13</v>
      </c>
      <c r="C70" s="2" t="s">
        <v>11</v>
      </c>
      <c r="D70" s="2">
        <v>2021.0</v>
      </c>
      <c r="E70" s="3">
        <v>5000.0</v>
      </c>
      <c r="F70" s="3">
        <v>7722.12</v>
      </c>
      <c r="G70" s="4">
        <f t="shared" si="12"/>
        <v>1.544424</v>
      </c>
      <c r="H70" s="2" t="s">
        <v>9</v>
      </c>
    </row>
    <row r="71">
      <c r="A71" s="2" t="s">
        <v>68</v>
      </c>
      <c r="B71" s="2" t="s">
        <v>13</v>
      </c>
      <c r="C71" s="2" t="s">
        <v>11</v>
      </c>
      <c r="D71" s="2">
        <v>2020.0</v>
      </c>
      <c r="E71" s="3">
        <v>5000.0</v>
      </c>
      <c r="F71" s="3">
        <v>0.0</v>
      </c>
      <c r="G71" s="4">
        <f t="shared" si="12"/>
        <v>0</v>
      </c>
      <c r="H71" s="2" t="s">
        <v>9</v>
      </c>
    </row>
    <row r="72">
      <c r="A72" s="2" t="s">
        <v>69</v>
      </c>
      <c r="B72" s="2" t="s">
        <v>13</v>
      </c>
      <c r="C72" s="2" t="s">
        <v>11</v>
      </c>
      <c r="D72" s="2">
        <v>2021.0</v>
      </c>
      <c r="E72" s="3">
        <v>5000.0</v>
      </c>
      <c r="F72" s="3">
        <v>9885.0</v>
      </c>
      <c r="G72" s="4">
        <f t="shared" si="12"/>
        <v>1.977</v>
      </c>
      <c r="H72" s="2" t="s">
        <v>9</v>
      </c>
    </row>
    <row r="73">
      <c r="A73" s="2" t="s">
        <v>70</v>
      </c>
      <c r="B73" s="2" t="s">
        <v>13</v>
      </c>
      <c r="C73" s="2" t="s">
        <v>11</v>
      </c>
      <c r="D73" s="2">
        <v>2021.0</v>
      </c>
      <c r="E73" s="3">
        <v>5000.0</v>
      </c>
      <c r="F73" s="3">
        <v>0.0</v>
      </c>
      <c r="G73" s="4">
        <f t="shared" si="12"/>
        <v>0</v>
      </c>
      <c r="H73" s="2" t="s">
        <v>9</v>
      </c>
    </row>
    <row r="74">
      <c r="A74" s="2" t="s">
        <v>71</v>
      </c>
      <c r="B74" s="2" t="s">
        <v>13</v>
      </c>
      <c r="C74" s="2" t="s">
        <v>11</v>
      </c>
      <c r="D74" s="2">
        <v>2020.0</v>
      </c>
      <c r="E74" s="3">
        <v>5000.0</v>
      </c>
      <c r="F74" s="3">
        <v>0.0</v>
      </c>
      <c r="G74" s="4">
        <f t="shared" si="12"/>
        <v>0</v>
      </c>
      <c r="H74" s="2" t="s">
        <v>9</v>
      </c>
    </row>
    <row r="75">
      <c r="A75" s="9" t="s">
        <v>72</v>
      </c>
      <c r="B75" s="9" t="s">
        <v>10</v>
      </c>
      <c r="C75" s="9" t="s">
        <v>11</v>
      </c>
      <c r="D75" s="9">
        <v>2016.0</v>
      </c>
      <c r="E75" s="10">
        <v>5000.0</v>
      </c>
      <c r="F75" s="10">
        <v>0.0</v>
      </c>
      <c r="G75" s="11">
        <f t="shared" si="12"/>
        <v>0</v>
      </c>
      <c r="H75" s="9" t="s">
        <v>9</v>
      </c>
    </row>
    <row r="76">
      <c r="A76" s="2" t="s">
        <v>73</v>
      </c>
      <c r="B76" s="2" t="s">
        <v>13</v>
      </c>
      <c r="C76" s="2" t="s">
        <v>11</v>
      </c>
      <c r="D76" s="2">
        <v>2020.0</v>
      </c>
      <c r="E76" s="3">
        <v>5000.0</v>
      </c>
      <c r="F76" s="3">
        <v>5000.0</v>
      </c>
      <c r="G76" s="4">
        <f t="shared" si="12"/>
        <v>1</v>
      </c>
      <c r="H76" s="2" t="s">
        <v>9</v>
      </c>
    </row>
    <row r="77">
      <c r="A77" s="2" t="s">
        <v>74</v>
      </c>
      <c r="B77" s="2" t="s">
        <v>13</v>
      </c>
      <c r="C77" s="2" t="s">
        <v>11</v>
      </c>
      <c r="D77" s="2">
        <v>2020.0</v>
      </c>
      <c r="E77" s="3">
        <v>5000.0</v>
      </c>
      <c r="F77" s="3">
        <v>0.0</v>
      </c>
      <c r="G77" s="4">
        <f t="shared" si="12"/>
        <v>0</v>
      </c>
      <c r="H77" s="2" t="s">
        <v>9</v>
      </c>
    </row>
    <row r="78">
      <c r="A78" s="23" t="s">
        <v>75</v>
      </c>
      <c r="B78" s="23" t="s">
        <v>13</v>
      </c>
      <c r="C78" s="23" t="s">
        <v>11</v>
      </c>
      <c r="D78" s="23">
        <v>2020.0</v>
      </c>
      <c r="E78" s="24">
        <v>10000.0</v>
      </c>
      <c r="F78" s="24">
        <f>SUM(F79:F80)</f>
        <v>4613.3</v>
      </c>
      <c r="G78" s="25">
        <f t="shared" si="12"/>
        <v>0.46133</v>
      </c>
      <c r="H78" s="23" t="s">
        <v>26</v>
      </c>
    </row>
    <row r="79">
      <c r="A79" s="20" t="s">
        <v>76</v>
      </c>
      <c r="B79" s="20" t="s">
        <v>13</v>
      </c>
      <c r="C79" s="20" t="s">
        <v>24</v>
      </c>
      <c r="D79" s="20">
        <v>2022.0</v>
      </c>
      <c r="E79" s="21"/>
      <c r="F79" s="21">
        <v>3613.3</v>
      </c>
      <c r="G79" s="20"/>
      <c r="H79" s="20"/>
    </row>
    <row r="80">
      <c r="A80" s="20" t="s">
        <v>77</v>
      </c>
      <c r="B80" s="20" t="s">
        <v>13</v>
      </c>
      <c r="C80" s="20"/>
      <c r="D80" s="20"/>
      <c r="E80" s="21"/>
      <c r="F80" s="21">
        <v>1000.0</v>
      </c>
      <c r="G80" s="20"/>
      <c r="H80" s="20"/>
    </row>
    <row r="81">
      <c r="A81" s="2" t="s">
        <v>78</v>
      </c>
      <c r="B81" s="2" t="s">
        <v>10</v>
      </c>
      <c r="C81" s="2" t="s">
        <v>11</v>
      </c>
      <c r="D81" s="2">
        <v>2020.0</v>
      </c>
      <c r="E81" s="3">
        <v>2500.0</v>
      </c>
      <c r="F81" s="3">
        <v>3163.49</v>
      </c>
      <c r="G81" s="2">
        <v>1.3</v>
      </c>
      <c r="H81" s="2" t="s">
        <v>9</v>
      </c>
    </row>
    <row r="82">
      <c r="A82" s="23" t="s">
        <v>79</v>
      </c>
      <c r="B82" s="23" t="s">
        <v>13</v>
      </c>
      <c r="C82" s="23" t="s">
        <v>29</v>
      </c>
      <c r="D82" s="23">
        <v>2021.0</v>
      </c>
      <c r="E82" s="24">
        <v>10000.0</v>
      </c>
      <c r="F82" s="24">
        <v>3032.87</v>
      </c>
      <c r="G82" s="25">
        <f t="shared" ref="G82:G112" si="13">F82/E82</f>
        <v>0.303287</v>
      </c>
      <c r="H82" s="23" t="s">
        <v>80</v>
      </c>
    </row>
    <row r="83">
      <c r="A83" s="26" t="s">
        <v>81</v>
      </c>
      <c r="B83" s="2" t="s">
        <v>13</v>
      </c>
      <c r="C83" s="2" t="s">
        <v>11</v>
      </c>
      <c r="D83" s="2">
        <v>2021.0</v>
      </c>
      <c r="E83" s="3">
        <v>2500.0</v>
      </c>
      <c r="F83" s="3">
        <v>3050.23</v>
      </c>
      <c r="G83" s="4">
        <f t="shared" si="13"/>
        <v>1.220092</v>
      </c>
      <c r="H83" s="2" t="s">
        <v>9</v>
      </c>
    </row>
    <row r="84">
      <c r="A84" s="2" t="s">
        <v>82</v>
      </c>
      <c r="B84" s="2" t="s">
        <v>13</v>
      </c>
      <c r="C84" s="2" t="s">
        <v>11</v>
      </c>
      <c r="D84" s="2">
        <v>2021.0</v>
      </c>
      <c r="E84" s="3">
        <v>2500.0</v>
      </c>
      <c r="F84" s="3">
        <v>0.0</v>
      </c>
      <c r="G84" s="4">
        <f t="shared" si="13"/>
        <v>0</v>
      </c>
      <c r="H84" s="2" t="s">
        <v>9</v>
      </c>
    </row>
    <row r="85">
      <c r="A85" s="23" t="s">
        <v>83</v>
      </c>
      <c r="B85" s="23" t="s">
        <v>13</v>
      </c>
      <c r="C85" s="23" t="s">
        <v>11</v>
      </c>
      <c r="D85" s="23">
        <v>2022.0</v>
      </c>
      <c r="E85" s="24">
        <v>2500.0</v>
      </c>
      <c r="F85" s="24">
        <v>299.0</v>
      </c>
      <c r="G85" s="25">
        <f t="shared" si="13"/>
        <v>0.1196</v>
      </c>
      <c r="H85" s="23" t="s">
        <v>26</v>
      </c>
    </row>
    <row r="86">
      <c r="A86" s="9" t="s">
        <v>84</v>
      </c>
      <c r="B86" s="9" t="s">
        <v>13</v>
      </c>
      <c r="C86" s="9" t="s">
        <v>11</v>
      </c>
      <c r="D86" s="9">
        <v>2022.0</v>
      </c>
      <c r="E86" s="10">
        <v>2500.0</v>
      </c>
      <c r="F86" s="10">
        <v>0.0</v>
      </c>
      <c r="G86" s="11">
        <f t="shared" si="13"/>
        <v>0</v>
      </c>
      <c r="H86" s="9" t="s">
        <v>9</v>
      </c>
    </row>
    <row r="87">
      <c r="A87" s="2" t="s">
        <v>85</v>
      </c>
      <c r="B87" s="2" t="s">
        <v>13</v>
      </c>
      <c r="C87" s="2" t="s">
        <v>11</v>
      </c>
      <c r="D87" s="2">
        <v>2023.0</v>
      </c>
      <c r="E87" s="3">
        <v>1000.0</v>
      </c>
      <c r="F87" s="3">
        <v>1000.0</v>
      </c>
      <c r="G87" s="4">
        <f t="shared" si="13"/>
        <v>1</v>
      </c>
      <c r="H87" s="2" t="s">
        <v>9</v>
      </c>
    </row>
    <row r="88">
      <c r="A88" s="2" t="s">
        <v>86</v>
      </c>
      <c r="B88" s="2" t="s">
        <v>13</v>
      </c>
      <c r="C88" s="2" t="s">
        <v>11</v>
      </c>
      <c r="D88" s="2">
        <v>2023.0</v>
      </c>
      <c r="E88" s="3">
        <v>1000.0</v>
      </c>
      <c r="F88" s="3">
        <v>1000.0</v>
      </c>
      <c r="G88" s="4">
        <f t="shared" si="13"/>
        <v>1</v>
      </c>
      <c r="H88" s="2" t="s">
        <v>9</v>
      </c>
    </row>
    <row r="89">
      <c r="A89" s="2" t="s">
        <v>87</v>
      </c>
      <c r="B89" s="2" t="s">
        <v>13</v>
      </c>
      <c r="C89" s="2" t="s">
        <v>11</v>
      </c>
      <c r="D89" s="2">
        <v>2023.0</v>
      </c>
      <c r="E89" s="3">
        <v>1000.0</v>
      </c>
      <c r="F89" s="3">
        <v>1000.0</v>
      </c>
      <c r="G89" s="4">
        <f t="shared" si="13"/>
        <v>1</v>
      </c>
      <c r="H89" s="2" t="s">
        <v>9</v>
      </c>
    </row>
    <row r="90">
      <c r="A90" s="2" t="s">
        <v>88</v>
      </c>
      <c r="B90" s="2" t="s">
        <v>13</v>
      </c>
      <c r="C90" s="2" t="s">
        <v>11</v>
      </c>
      <c r="D90" s="2">
        <v>2023.0</v>
      </c>
      <c r="E90" s="3">
        <v>5000.0</v>
      </c>
      <c r="F90" s="3">
        <v>5000.0</v>
      </c>
      <c r="G90" s="4">
        <f t="shared" si="13"/>
        <v>1</v>
      </c>
      <c r="H90" s="2" t="s">
        <v>9</v>
      </c>
    </row>
    <row r="91">
      <c r="A91" s="2" t="s">
        <v>89</v>
      </c>
      <c r="B91" s="2" t="s">
        <v>13</v>
      </c>
      <c r="C91" s="2" t="s">
        <v>11</v>
      </c>
      <c r="D91" s="2">
        <v>2023.0</v>
      </c>
      <c r="E91" s="3">
        <v>500.0</v>
      </c>
      <c r="F91" s="3">
        <v>500.0</v>
      </c>
      <c r="G91" s="4">
        <f t="shared" si="13"/>
        <v>1</v>
      </c>
      <c r="H91" s="2" t="s">
        <v>9</v>
      </c>
    </row>
    <row r="92">
      <c r="A92" s="2" t="s">
        <v>90</v>
      </c>
      <c r="B92" s="2" t="s">
        <v>13</v>
      </c>
      <c r="C92" s="2" t="s">
        <v>11</v>
      </c>
      <c r="D92" s="2">
        <v>2024.0</v>
      </c>
      <c r="E92" s="3">
        <v>1000.0</v>
      </c>
      <c r="F92" s="3">
        <v>0.0</v>
      </c>
      <c r="G92" s="4">
        <f t="shared" si="13"/>
        <v>0</v>
      </c>
      <c r="H92" s="2" t="s">
        <v>9</v>
      </c>
    </row>
    <row r="93">
      <c r="A93" s="2" t="s">
        <v>91</v>
      </c>
      <c r="B93" s="2" t="s">
        <v>13</v>
      </c>
      <c r="C93" s="2" t="s">
        <v>11</v>
      </c>
      <c r="D93" s="2">
        <v>2024.0</v>
      </c>
      <c r="E93" s="3">
        <v>7500.0</v>
      </c>
      <c r="F93" s="3">
        <v>7500.0</v>
      </c>
      <c r="G93" s="4">
        <f t="shared" si="13"/>
        <v>1</v>
      </c>
      <c r="H93" s="2" t="s">
        <v>9</v>
      </c>
    </row>
    <row r="94">
      <c r="A94" s="2" t="s">
        <v>92</v>
      </c>
      <c r="B94" s="2" t="s">
        <v>13</v>
      </c>
      <c r="C94" s="2" t="s">
        <v>11</v>
      </c>
      <c r="D94" s="2">
        <v>2024.0</v>
      </c>
      <c r="E94" s="3">
        <v>10000.0</v>
      </c>
      <c r="F94" s="3">
        <v>39644.41</v>
      </c>
      <c r="G94" s="4">
        <f t="shared" si="13"/>
        <v>3.964441</v>
      </c>
      <c r="H94" s="2" t="s">
        <v>9</v>
      </c>
    </row>
    <row r="95">
      <c r="A95" s="2" t="s">
        <v>93</v>
      </c>
      <c r="B95" s="2" t="s">
        <v>13</v>
      </c>
      <c r="C95" s="2" t="s">
        <v>11</v>
      </c>
      <c r="D95" s="2">
        <v>2024.0</v>
      </c>
      <c r="E95" s="3">
        <v>10000.0</v>
      </c>
      <c r="F95" s="3">
        <v>10000.0</v>
      </c>
      <c r="G95" s="4">
        <f t="shared" si="13"/>
        <v>1</v>
      </c>
      <c r="H95" s="2" t="s">
        <v>9</v>
      </c>
    </row>
    <row r="96">
      <c r="A96" s="2" t="s">
        <v>94</v>
      </c>
      <c r="B96" s="2" t="s">
        <v>13</v>
      </c>
      <c r="C96" s="2" t="s">
        <v>11</v>
      </c>
      <c r="D96" s="2">
        <v>2024.0</v>
      </c>
      <c r="E96" s="3">
        <v>1000.0</v>
      </c>
      <c r="F96" s="3">
        <v>0.0</v>
      </c>
      <c r="G96" s="4">
        <f t="shared" si="13"/>
        <v>0</v>
      </c>
      <c r="H96" s="2" t="s">
        <v>9</v>
      </c>
    </row>
    <row r="97">
      <c r="A97" s="2" t="s">
        <v>95</v>
      </c>
      <c r="B97" s="2" t="s">
        <v>13</v>
      </c>
      <c r="C97" s="2" t="s">
        <v>11</v>
      </c>
      <c r="D97" s="2">
        <v>2024.0</v>
      </c>
      <c r="E97" s="3">
        <v>5000.0</v>
      </c>
      <c r="F97" s="3">
        <v>49987.5</v>
      </c>
      <c r="G97" s="4">
        <f t="shared" si="13"/>
        <v>9.9975</v>
      </c>
      <c r="H97" s="2" t="s">
        <v>9</v>
      </c>
    </row>
    <row r="98">
      <c r="A98" s="2" t="s">
        <v>96</v>
      </c>
      <c r="B98" s="2" t="s">
        <v>13</v>
      </c>
      <c r="C98" s="2" t="s">
        <v>11</v>
      </c>
      <c r="D98" s="2">
        <v>2024.0</v>
      </c>
      <c r="E98" s="3">
        <v>2500.0</v>
      </c>
      <c r="F98" s="3">
        <v>0.0</v>
      </c>
      <c r="G98" s="4">
        <f t="shared" si="13"/>
        <v>0</v>
      </c>
      <c r="H98" s="2" t="s">
        <v>9</v>
      </c>
    </row>
    <row r="99">
      <c r="A99" s="2" t="s">
        <v>97</v>
      </c>
      <c r="B99" s="2" t="s">
        <v>13</v>
      </c>
      <c r="C99" s="2" t="s">
        <v>11</v>
      </c>
      <c r="D99" s="2">
        <v>2024.0</v>
      </c>
      <c r="E99" s="3">
        <v>5000.0</v>
      </c>
      <c r="F99" s="3">
        <v>5000.0</v>
      </c>
      <c r="G99" s="4">
        <f t="shared" si="13"/>
        <v>1</v>
      </c>
      <c r="H99" s="2" t="s">
        <v>9</v>
      </c>
    </row>
    <row r="100">
      <c r="A100" s="2" t="s">
        <v>98</v>
      </c>
      <c r="B100" s="2" t="s">
        <v>13</v>
      </c>
      <c r="C100" s="2" t="s">
        <v>11</v>
      </c>
      <c r="D100" s="2">
        <v>2024.0</v>
      </c>
      <c r="E100" s="3">
        <v>2500.0</v>
      </c>
      <c r="F100" s="3">
        <v>2500.0</v>
      </c>
      <c r="G100" s="4">
        <f t="shared" si="13"/>
        <v>1</v>
      </c>
      <c r="H100" s="2" t="s">
        <v>9</v>
      </c>
    </row>
    <row r="101">
      <c r="A101" s="2" t="s">
        <v>99</v>
      </c>
      <c r="B101" s="2" t="s">
        <v>13</v>
      </c>
      <c r="C101" s="2" t="s">
        <v>11</v>
      </c>
      <c r="D101" s="2">
        <v>2024.0</v>
      </c>
      <c r="E101" s="3">
        <v>1000.0</v>
      </c>
      <c r="F101" s="3">
        <v>1000.0</v>
      </c>
      <c r="G101" s="4">
        <f t="shared" si="13"/>
        <v>1</v>
      </c>
      <c r="H101" s="2" t="s">
        <v>9</v>
      </c>
    </row>
    <row r="102">
      <c r="A102" s="2" t="s">
        <v>100</v>
      </c>
      <c r="B102" s="2" t="s">
        <v>13</v>
      </c>
      <c r="C102" s="2" t="s">
        <v>11</v>
      </c>
      <c r="D102" s="2">
        <v>2024.0</v>
      </c>
      <c r="E102" s="3">
        <v>1000.0</v>
      </c>
      <c r="F102" s="3">
        <v>1000.0</v>
      </c>
      <c r="G102" s="4">
        <f t="shared" si="13"/>
        <v>1</v>
      </c>
      <c r="H102" s="2" t="s">
        <v>9</v>
      </c>
    </row>
    <row r="103">
      <c r="A103" s="2" t="s">
        <v>101</v>
      </c>
      <c r="B103" s="2" t="s">
        <v>13</v>
      </c>
      <c r="C103" s="2" t="s">
        <v>11</v>
      </c>
      <c r="D103" s="2">
        <v>2024.0</v>
      </c>
      <c r="E103" s="3">
        <v>5000.0</v>
      </c>
      <c r="F103" s="3">
        <v>5000.0</v>
      </c>
      <c r="G103" s="4">
        <f t="shared" si="13"/>
        <v>1</v>
      </c>
      <c r="H103" s="2" t="s">
        <v>9</v>
      </c>
    </row>
    <row r="104">
      <c r="A104" s="2" t="s">
        <v>102</v>
      </c>
      <c r="B104" s="2" t="s">
        <v>13</v>
      </c>
      <c r="C104" s="2" t="s">
        <v>11</v>
      </c>
      <c r="D104" s="2">
        <v>2025.0</v>
      </c>
      <c r="E104" s="3">
        <v>25000.0</v>
      </c>
      <c r="F104" s="3">
        <v>25000.0</v>
      </c>
      <c r="G104" s="4">
        <f t="shared" si="13"/>
        <v>1</v>
      </c>
      <c r="H104" s="2" t="s">
        <v>9</v>
      </c>
    </row>
    <row r="105">
      <c r="A105" s="2" t="s">
        <v>103</v>
      </c>
      <c r="B105" s="2" t="s">
        <v>13</v>
      </c>
      <c r="C105" s="2" t="s">
        <v>11</v>
      </c>
      <c r="D105" s="2">
        <v>2025.0</v>
      </c>
      <c r="E105" s="3">
        <v>2500.0</v>
      </c>
      <c r="F105" s="3">
        <v>2500.0</v>
      </c>
      <c r="G105" s="4">
        <f t="shared" si="13"/>
        <v>1</v>
      </c>
      <c r="H105" s="2" t="s">
        <v>9</v>
      </c>
    </row>
    <row r="106">
      <c r="A106" s="2" t="s">
        <v>104</v>
      </c>
      <c r="B106" s="2" t="s">
        <v>13</v>
      </c>
      <c r="C106" s="2" t="s">
        <v>11</v>
      </c>
      <c r="D106" s="2">
        <v>2025.0</v>
      </c>
      <c r="E106" s="3">
        <v>1000.0</v>
      </c>
      <c r="F106" s="3">
        <v>1000.0</v>
      </c>
      <c r="G106" s="4">
        <f t="shared" si="13"/>
        <v>1</v>
      </c>
      <c r="H106" s="2" t="s">
        <v>9</v>
      </c>
    </row>
    <row r="107">
      <c r="A107" s="2" t="s">
        <v>105</v>
      </c>
      <c r="B107" s="2" t="s">
        <v>13</v>
      </c>
      <c r="C107" s="2" t="s">
        <v>11</v>
      </c>
      <c r="D107" s="2">
        <v>2025.0</v>
      </c>
      <c r="E107" s="3">
        <v>1000.0</v>
      </c>
      <c r="F107" s="3">
        <v>1000.0</v>
      </c>
      <c r="G107" s="4">
        <f t="shared" si="13"/>
        <v>1</v>
      </c>
      <c r="H107" s="2" t="s">
        <v>9</v>
      </c>
    </row>
    <row r="108">
      <c r="A108" s="2" t="s">
        <v>106</v>
      </c>
      <c r="B108" s="2" t="s">
        <v>13</v>
      </c>
      <c r="C108" s="2" t="s">
        <v>11</v>
      </c>
      <c r="D108" s="2">
        <v>2025.0</v>
      </c>
      <c r="E108" s="3">
        <v>1000.0</v>
      </c>
      <c r="F108" s="3">
        <v>1000.0</v>
      </c>
      <c r="G108" s="4">
        <f t="shared" si="13"/>
        <v>1</v>
      </c>
      <c r="H108" s="2" t="s">
        <v>9</v>
      </c>
    </row>
    <row r="109">
      <c r="A109" s="2" t="s">
        <v>107</v>
      </c>
      <c r="B109" s="2" t="s">
        <v>13</v>
      </c>
      <c r="C109" s="2" t="s">
        <v>11</v>
      </c>
      <c r="D109" s="2">
        <v>2025.0</v>
      </c>
      <c r="E109" s="3">
        <v>5000.0</v>
      </c>
      <c r="F109" s="3">
        <v>5000.0</v>
      </c>
      <c r="G109" s="4">
        <f t="shared" si="13"/>
        <v>1</v>
      </c>
      <c r="H109" s="2" t="s">
        <v>9</v>
      </c>
    </row>
    <row r="110">
      <c r="A110" s="2" t="s">
        <v>108</v>
      </c>
      <c r="B110" s="2" t="s">
        <v>13</v>
      </c>
      <c r="C110" s="2" t="s">
        <v>11</v>
      </c>
      <c r="D110" s="2">
        <v>2025.0</v>
      </c>
      <c r="E110" s="3">
        <v>5000.0</v>
      </c>
      <c r="F110" s="3">
        <v>5000.0</v>
      </c>
      <c r="G110" s="4">
        <f t="shared" si="13"/>
        <v>1</v>
      </c>
      <c r="H110" s="2" t="s">
        <v>9</v>
      </c>
    </row>
    <row r="111">
      <c r="A111" s="2" t="s">
        <v>109</v>
      </c>
      <c r="B111" s="2" t="s">
        <v>13</v>
      </c>
      <c r="C111" s="2" t="s">
        <v>24</v>
      </c>
      <c r="D111" s="2">
        <v>2025.0</v>
      </c>
      <c r="E111" s="3">
        <v>10000.0</v>
      </c>
      <c r="F111" s="3">
        <v>10000.0</v>
      </c>
      <c r="G111" s="4">
        <f t="shared" si="13"/>
        <v>1</v>
      </c>
      <c r="H111" s="2" t="s">
        <v>9</v>
      </c>
    </row>
    <row r="112">
      <c r="A112" s="23" t="s">
        <v>110</v>
      </c>
      <c r="B112" s="23"/>
      <c r="C112" s="23"/>
      <c r="D112" s="23"/>
      <c r="E112" s="24">
        <f>SUM(E113:E114)</f>
        <v>9093.27</v>
      </c>
      <c r="F112" s="24">
        <f>F115</f>
        <v>1992.87</v>
      </c>
      <c r="G112" s="25">
        <f t="shared" si="13"/>
        <v>0.2191587845</v>
      </c>
      <c r="H112" s="23" t="s">
        <v>26</v>
      </c>
    </row>
    <row r="113">
      <c r="A113" s="28"/>
      <c r="B113" s="23" t="s">
        <v>10</v>
      </c>
      <c r="C113" s="23" t="s">
        <v>11</v>
      </c>
      <c r="D113" s="23">
        <v>2020.0</v>
      </c>
      <c r="E113" s="24">
        <v>5000.0</v>
      </c>
      <c r="F113" s="24"/>
      <c r="G113" s="28"/>
      <c r="H113" s="28"/>
    </row>
    <row r="114">
      <c r="A114" s="28"/>
      <c r="B114" s="23" t="s">
        <v>10</v>
      </c>
      <c r="C114" s="23" t="s">
        <v>11</v>
      </c>
      <c r="D114" s="23">
        <v>2020.0</v>
      </c>
      <c r="E114" s="24">
        <v>4093.27</v>
      </c>
      <c r="F114" s="24"/>
      <c r="G114" s="25"/>
      <c r="H114" s="28"/>
    </row>
    <row r="115">
      <c r="A115" s="20" t="s">
        <v>111</v>
      </c>
      <c r="B115" s="20" t="s">
        <v>10</v>
      </c>
      <c r="C115" s="20" t="s">
        <v>12</v>
      </c>
      <c r="D115" s="20">
        <v>2022.0</v>
      </c>
      <c r="E115" s="21"/>
      <c r="F115" s="21">
        <v>1992.87</v>
      </c>
      <c r="G115" s="22"/>
      <c r="H115" s="20" t="s">
        <v>9</v>
      </c>
    </row>
    <row r="116">
      <c r="A116" s="9" t="s">
        <v>112</v>
      </c>
      <c r="B116" s="9" t="s">
        <v>10</v>
      </c>
      <c r="C116" s="9" t="s">
        <v>11</v>
      </c>
      <c r="D116" s="9">
        <v>2019.0</v>
      </c>
      <c r="E116" s="10">
        <v>5000.0</v>
      </c>
      <c r="F116" s="10">
        <v>0.0</v>
      </c>
      <c r="G116" s="11">
        <v>0.0</v>
      </c>
      <c r="H116" s="9" t="s">
        <v>21</v>
      </c>
    </row>
    <row r="117">
      <c r="A117" s="9" t="s">
        <v>113</v>
      </c>
      <c r="B117" s="9" t="s">
        <v>13</v>
      </c>
      <c r="C117" s="9" t="s">
        <v>11</v>
      </c>
      <c r="D117" s="9">
        <v>2020.0</v>
      </c>
      <c r="E117" s="10">
        <v>10000.0</v>
      </c>
      <c r="F117" s="10">
        <v>0.0</v>
      </c>
      <c r="G117" s="11">
        <v>0.0</v>
      </c>
      <c r="H117" s="9" t="s">
        <v>21</v>
      </c>
    </row>
    <row r="118">
      <c r="A118" s="9" t="s">
        <v>114</v>
      </c>
      <c r="B118" s="9" t="s">
        <v>10</v>
      </c>
      <c r="C118" s="9" t="s">
        <v>11</v>
      </c>
      <c r="D118" s="9">
        <v>2019.0</v>
      </c>
      <c r="E118" s="10">
        <v>10000.0</v>
      </c>
      <c r="F118" s="10">
        <v>0.0</v>
      </c>
      <c r="G118" s="11">
        <v>0.0</v>
      </c>
      <c r="H118" s="9" t="s">
        <v>21</v>
      </c>
    </row>
    <row r="119">
      <c r="A119" s="9" t="s">
        <v>115</v>
      </c>
      <c r="B119" s="9" t="s">
        <v>13</v>
      </c>
      <c r="C119" s="9" t="s">
        <v>22</v>
      </c>
      <c r="D119" s="9">
        <v>2020.0</v>
      </c>
      <c r="E119" s="10">
        <v>10000.0</v>
      </c>
      <c r="F119" s="10">
        <v>0.0</v>
      </c>
      <c r="G119" s="11">
        <v>0.0</v>
      </c>
      <c r="H119" s="9" t="s">
        <v>21</v>
      </c>
    </row>
    <row r="121">
      <c r="A121" s="29" t="s">
        <v>116</v>
      </c>
      <c r="B121" s="30"/>
      <c r="C121" s="30"/>
      <c r="D121" s="30"/>
      <c r="E121" s="31">
        <f>E7+E12+E17+E20+E23+E27+E28+E32+E36+E37+SUM(E40:E44)+E26+E45+SUM(E48:E112)+SUM(E116:E119)+SUM(E116:E119)+E2+E6</f>
        <v>1583429.27</v>
      </c>
      <c r="F121" s="31">
        <f>F7+F12+F17+F20+F23+F27+F28+F32+F36+F37+SUM(F40:F44)+F26+F45+SUM(F48:F49)+SUM(F51:F78)+SUM(F81:F112)+F6+F2</f>
        <v>2089837.96</v>
      </c>
      <c r="G121" s="32">
        <f>F121/E121</f>
        <v>1.319817689</v>
      </c>
      <c r="H121" s="30"/>
    </row>
  </sheetData>
  <hyperlinks>
    <hyperlink r:id="rId1" ref="A37"/>
    <hyperlink r:id="rId2" ref="A59"/>
    <hyperlink r:id="rId3" ref="A8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25"/>
  </cols>
  <sheetData>
    <row r="1">
      <c r="D1" s="34" t="s">
        <v>6</v>
      </c>
    </row>
    <row r="2">
      <c r="D2" s="36">
        <f t="shared" ref="D2:D8" si="1">C2/B2</f>
        <v>0.77304</v>
      </c>
    </row>
    <row r="3">
      <c r="D3" s="36">
        <f t="shared" si="1"/>
        <v>0</v>
      </c>
    </row>
    <row r="4">
      <c r="D4" s="36">
        <f t="shared" si="1"/>
        <v>2.839753026</v>
      </c>
    </row>
    <row r="5">
      <c r="D5" s="36">
        <f t="shared" si="1"/>
        <v>1.155976708</v>
      </c>
    </row>
    <row r="6">
      <c r="D6" s="36">
        <f t="shared" si="1"/>
        <v>1.875526408</v>
      </c>
    </row>
    <row r="7">
      <c r="D7" s="36">
        <f t="shared" si="1"/>
        <v>1.092264401</v>
      </c>
    </row>
    <row r="8">
      <c r="D8" s="36">
        <f t="shared" si="1"/>
        <v>1.441975245</v>
      </c>
    </row>
  </sheetData>
  <drawing r:id="rId2"/>
</worksheet>
</file>